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475" windowHeight="5484"/>
  </bookViews>
  <sheets>
    <sheet name="Лист1" sheetId="1" r:id="rId1"/>
    <sheet name="Лист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<sst xmlns="http://schemas.openxmlformats.org/spreadsheetml/2006/main" count="10" uniqueCount="8">
  <si>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Число потоков</t>
  </si>
  <si>
    <t>Время исполнения (мс)</t>
  </si>
  <si>
    <t>Ускорение</t>
  </si>
  <si>
    <t>Эффективность</t>
  </si>
  <si>
    <t>Число экспериментов</t>
  </si>
  <si>
    <t>Вычисленная вероятность</t>
  </si>
  <si>
    <t>Время исполнения на 16 потоках (мс)</t>
  </si>
  <si>
    <t>Время исполнения на одном потоке (мс)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</si>
</sst>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_ "/>
    <numFmt numFmtId="181" formatCode="0.00_ "/>
  </numFmts>
  <fonts count="2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181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top" wrapText="1"/>
    </xf>
    <xf numFmtId="180" fontId="2" fillId="0" borderId="0" xfId="0" applyNumberFormat="1" applyFont="1" applyBorder="1" applyAlignment="1">
      <alignment horizontal="center" vertical="top" wrapText="1"/>
    </xf>
    <xf numFmtId="181" fontId="2" fillId="0" borderId="0" xfId="0" applyNumberFormat="1" applyFont="1" applyBorder="1" applyAlignment="1">
      <alignment horizontal="center" vertical="top" wrapText="1"/>
    </xf>
    <xf numFmtId="0" fontId="0" fillId="0" borderId="0" xfId="0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Время исполнения (мс)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Лист1!$A$2:$A$17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12</c:v>
                </c:pt>
                <c:pt idx="8">
                  <c:v>15</c:v>
                </c:pt>
                <c:pt idx="9">
                  <c:v>16</c:v>
                </c:pt>
                <c:pt idx="10">
                  <c:v>32</c:v>
                </c:pt>
                <c:pt idx="11">
                  <c:v>64</c:v>
                </c:pt>
                <c:pt idx="12">
                  <c:v>128</c:v>
                </c:pt>
                <c:pt idx="13">
                  <c:v>512</c:v>
                </c:pt>
                <c:pt idx="14">
                  <c:v>1024</c:v>
                </c:pt>
                <c:pt idx="15">
                  <c:v>10000</c:v>
                </c:pt>
              </c:numCache>
            </c:numRef>
          </c:cat>
          <c:val>
            <c:numRef>
              <c:f>Лист1!$B$2:$B$17</c:f>
              <c:numCache>
                <c:formatCode>0.000_ </c:formatCode>
                <c:ptCount val="16"/>
                <c:pt idx="0">
                  <c:v>3215.118</c:v>
                </c:pt>
                <c:pt idx="1">
                  <c:v>1716.931</c:v>
                </c:pt>
                <c:pt idx="2">
                  <c:v>1205.02</c:v>
                </c:pt>
                <c:pt idx="3">
                  <c:v>920.695</c:v>
                </c:pt>
                <c:pt idx="4">
                  <c:v>745.2</c:v>
                </c:pt>
                <c:pt idx="5" c:formatCode="General">
                  <c:v>643.813</c:v>
                </c:pt>
                <c:pt idx="6">
                  <c:v>505.85</c:v>
                </c:pt>
                <c:pt idx="7">
                  <c:v>356.342</c:v>
                </c:pt>
                <c:pt idx="8">
                  <c:v>302.116</c:v>
                </c:pt>
                <c:pt idx="9">
                  <c:v>299.131</c:v>
                </c:pt>
                <c:pt idx="10">
                  <c:v>302.348</c:v>
                </c:pt>
                <c:pt idx="11">
                  <c:v>297.994</c:v>
                </c:pt>
                <c:pt idx="12">
                  <c:v>296.907</c:v>
                </c:pt>
                <c:pt idx="13">
                  <c:v>303.822</c:v>
                </c:pt>
                <c:pt idx="14">
                  <c:v>326.676</c:v>
                </c:pt>
                <c:pt idx="15">
                  <c:v>1073.979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411183"/>
        <c:axId val="670662492"/>
      </c:lineChart>
      <c:catAx>
        <c:axId val="71541118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Количество потоков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0662492"/>
        <c:crosses val="autoZero"/>
        <c:auto val="1"/>
        <c:lblAlgn val="ctr"/>
        <c:lblOffset val="100"/>
        <c:noMultiLvlLbl val="0"/>
      </c:catAx>
      <c:valAx>
        <c:axId val="6706624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41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a3c20e-bbe7-4ec0-9863-5af4a8b06e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Ускорение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Лист1!$A$2:$A$17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12</c:v>
                </c:pt>
                <c:pt idx="8">
                  <c:v>15</c:v>
                </c:pt>
                <c:pt idx="9">
                  <c:v>16</c:v>
                </c:pt>
                <c:pt idx="10">
                  <c:v>32</c:v>
                </c:pt>
                <c:pt idx="11">
                  <c:v>64</c:v>
                </c:pt>
                <c:pt idx="12">
                  <c:v>128</c:v>
                </c:pt>
                <c:pt idx="13">
                  <c:v>512</c:v>
                </c:pt>
                <c:pt idx="14">
                  <c:v>1024</c:v>
                </c:pt>
                <c:pt idx="15">
                  <c:v>10000</c:v>
                </c:pt>
              </c:numCache>
            </c:numRef>
          </c:cat>
          <c:val>
            <c:numRef>
              <c:f>Лист1!$C$2:$C$17</c:f>
              <c:numCache>
                <c:formatCode>0.00_ </c:formatCode>
                <c:ptCount val="16"/>
                <c:pt idx="0">
                  <c:v>1</c:v>
                </c:pt>
                <c:pt idx="1">
                  <c:v>1.87259592843277</c:v>
                </c:pt>
                <c:pt idx="2">
                  <c:v>2.6681034339679</c:v>
                </c:pt>
                <c:pt idx="3">
                  <c:v>3.49205545810502</c:v>
                </c:pt>
                <c:pt idx="4">
                  <c:v>4.31443639291465</c:v>
                </c:pt>
                <c:pt idx="5">
                  <c:v>4.99386933783568</c:v>
                </c:pt>
                <c:pt idx="6">
                  <c:v>6.35587229415835</c:v>
                </c:pt>
                <c:pt idx="7">
                  <c:v>9.0225625943616</c:v>
                </c:pt>
                <c:pt idx="8">
                  <c:v>10.6419984376862</c:v>
                </c:pt>
                <c:pt idx="9">
                  <c:v>10.7481939350987</c:v>
                </c:pt>
                <c:pt idx="10">
                  <c:v>10.6338325373411</c:v>
                </c:pt>
                <c:pt idx="11">
                  <c:v>10.7892038094727</c:v>
                </c:pt>
                <c:pt idx="12">
                  <c:v>10.8287039375966</c:v>
                </c:pt>
                <c:pt idx="13">
                  <c:v>10.5822422339396</c:v>
                </c:pt>
                <c:pt idx="14">
                  <c:v>9.84191676156192</c:v>
                </c:pt>
                <c:pt idx="15">
                  <c:v>2.99365071384077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862115"/>
        <c:axId val="76564415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Лист1!$C$20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Лист1!$A$2:$A$17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8</c:v>
                      </c:pt>
                      <c:pt idx="7">
                        <c:v>12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32</c:v>
                      </c:pt>
                      <c:pt idx="11">
                        <c:v>64</c:v>
                      </c:pt>
                      <c:pt idx="12">
                        <c:v>128</c:v>
                      </c:pt>
                      <c:pt idx="13">
                        <c:v>512</c:v>
                      </c:pt>
                      <c:pt idx="14">
                        <c:v>1024</c:v>
                      </c:pt>
                      <c:pt idx="15">
                        <c:v>10000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Лист1!$C$21:$C$36</c15:sqref>
                        </c15:formulaRef>
                      </c:ext>
                    </c:extLst>
                    <c:numCache>
                      <c:formatCode>0.00_ </c:formatCode>
                      <c:ptCount val="16"/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98386211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Количество потоков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644150"/>
        <c:crosses val="autoZero"/>
        <c:auto val="1"/>
        <c:lblAlgn val="ctr"/>
        <c:lblOffset val="100"/>
        <c:noMultiLvlLbl val="0"/>
      </c:catAx>
      <c:valAx>
        <c:axId val="7656441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38621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97e576-8af2-473b-882a-1abc3e9e93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Эффективность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Лист1!$A$2:$A$17</c15:sqref>
                  </c15:fullRef>
                </c:ext>
              </c:extLst>
              <c:f>(Лист1!$A$2:$A$3,Лист1!$A$5,Лист1!$A$8,Лист1!$A$11:$A$16)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512</c:v>
                </c:pt>
                <c:pt idx="9">
                  <c:v>1024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Лист1!$D$2:$D$17</c15:sqref>
                  </c15:fullRef>
                </c:ext>
              </c:extLst>
              <c:f>(Лист1!$D$2:$D$3,Лист1!$D$5,Лист1!$D$8,Лист1!$D$11:$D$16)</c:f>
              <c:numCache>
                <c:formatCode>0.00_ </c:formatCode>
                <c:ptCount val="10"/>
                <c:pt idx="0">
                  <c:v>1</c:v>
                </c:pt>
                <c:pt idx="1">
                  <c:v>0.936297964216384</c:v>
                </c:pt>
                <c:pt idx="2">
                  <c:v>0.873013864526255</c:v>
                </c:pt>
                <c:pt idx="3">
                  <c:v>0.794484036769793</c:v>
                </c:pt>
                <c:pt idx="4">
                  <c:v>0.671762120943667</c:v>
                </c:pt>
                <c:pt idx="5">
                  <c:v>0.332307266791909</c:v>
                </c:pt>
                <c:pt idx="6">
                  <c:v>0.168581309523011</c:v>
                </c:pt>
                <c:pt idx="7">
                  <c:v>0.0845992495124736</c:v>
                </c:pt>
                <c:pt idx="8">
                  <c:v>0.0206684418631633</c:v>
                </c:pt>
                <c:pt idx="9">
                  <c:v>0.00961124683746281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960770"/>
        <c:axId val="36882226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Лист1!$D$20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>Лист1!$A$2:$A$17</c15:sqref>
                        </c15:fullRef>
                        <c15:formulaRef>
                          <c15:sqref>(Лист1!$A$2:$A$3,Лист1!$A$5,Лист1!$A$8,Лист1!$A$11:$A$16)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  <c:pt idx="6">
                        <c:v>64</c:v>
                      </c:pt>
                      <c:pt idx="7">
                        <c:v>128</c:v>
                      </c:pt>
                      <c:pt idx="8">
                        <c:v>512</c:v>
                      </c:pt>
                      <c:pt idx="9">
                        <c:v>1024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Лист1!$D$21:$D$36</c15:sqref>
                        </c15:fullRef>
                        <c15:formulaRef>
                          <c15:sqref>(Лист1!$D$21:$D$22,Лист1!$D$24,Лист1!$D$27,Лист1!$D$30:$D$35)</c15:sqref>
                        </c15:formulaRef>
                      </c:ext>
                    </c:extLst>
                    <c:numCache>
                      <c:formatCode>0.00_ </c:formatCode>
                      <c:ptCount val="10"/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59096077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Количество потоков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822262"/>
        <c:crosses val="autoZero"/>
        <c:auto val="1"/>
        <c:lblAlgn val="ctr"/>
        <c:lblOffset val="100"/>
        <c:noMultiLvlLbl val="0"/>
      </c:catAx>
      <c:valAx>
        <c:axId val="36882226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607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82f2ea-00fb-40db-9bc6-ec314724a01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Вычисленная вероятность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Лист2!$A$2:$A$8</c:f>
              <c:numCache>
                <c:formatCode>General</c:formatCod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</c:numCache>
            </c:numRef>
          </c:cat>
          <c:val>
            <c:numRef>
              <c:f>Лист2!$B$2:$B$8</c:f>
              <c:numCache>
                <c:formatCode>General</c:formatCode>
                <c:ptCount val="7"/>
                <c:pt idx="0">
                  <c:v>0.1</c:v>
                </c:pt>
                <c:pt idx="1">
                  <c:v>0.05</c:v>
                </c:pt>
                <c:pt idx="2">
                  <c:v>0.063</c:v>
                </c:pt>
                <c:pt idx="3">
                  <c:v>0.0577</c:v>
                </c:pt>
                <c:pt idx="4">
                  <c:v>0.0578</c:v>
                </c:pt>
                <c:pt idx="5">
                  <c:v>0.058796</c:v>
                </c:pt>
                <c:pt idx="6">
                  <c:v>0.05879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127581"/>
        <c:axId val="489508858"/>
      </c:lineChart>
      <c:catAx>
        <c:axId val="74812758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Количество экспериментов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9508858"/>
        <c:crosses val="autoZero"/>
        <c:auto val="1"/>
        <c:lblAlgn val="ctr"/>
        <c:lblOffset val="100"/>
        <c:noMultiLvlLbl val="0"/>
      </c:catAx>
      <c:valAx>
        <c:axId val="4895088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81275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e280f3-cd88-4185-b373-64f7ae7648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Лист2!$E$1</c:f>
              <c:strCache>
                <c:ptCount val="1"/>
                <c:pt idx="0">
                  <c:v>Ускорение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Лист2!$A$2:$A$8</c:f>
              <c:numCache>
                <c:formatCode>General</c:formatCod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</c:numCache>
            </c:numRef>
          </c:cat>
          <c:val>
            <c:numRef>
              <c:f>Лист2!$E$2:$E$8</c:f>
              <c:numCache>
                <c:formatCode>0.000_ </c:formatCode>
                <c:ptCount val="7"/>
                <c:pt idx="0">
                  <c:v>0.109647779479326</c:v>
                </c:pt>
                <c:pt idx="1">
                  <c:v>0.0986033519553073</c:v>
                </c:pt>
                <c:pt idx="2">
                  <c:v>0.274853801169591</c:v>
                </c:pt>
                <c:pt idx="3">
                  <c:v>2.0992657856094</c:v>
                </c:pt>
                <c:pt idx="4">
                  <c:v>3.46784266462145</c:v>
                </c:pt>
                <c:pt idx="5">
                  <c:v>7.89083739095151</c:v>
                </c:pt>
                <c:pt idx="6">
                  <c:v>11.3333053561165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318341"/>
        <c:axId val="87174914"/>
      </c:lineChart>
      <c:catAx>
        <c:axId val="89231834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Число экспериментов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174914"/>
        <c:crosses val="autoZero"/>
        <c:auto val="1"/>
        <c:lblAlgn val="ctr"/>
        <c:lblOffset val="100"/>
        <c:noMultiLvlLbl val="0"/>
      </c:catAx>
      <c:valAx>
        <c:axId val="871749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3183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e331f8-73a5-4de3-b622-31bbf083a9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Лист2!$F$1</c:f>
              <c:strCache>
                <c:ptCount val="1"/>
                <c:pt idx="0">
                  <c:v>Эффективность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Лист2!$A$2:$A$8</c:f>
              <c:numCache>
                <c:formatCode>General</c:formatCod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</c:numCache>
            </c:numRef>
          </c:cat>
          <c:val>
            <c:numRef>
              <c:f>Лист2!$F$2:$F$8</c:f>
              <c:numCache>
                <c:formatCode>0.000_ </c:formatCode>
                <c:ptCount val="7"/>
                <c:pt idx="0">
                  <c:v>0.00685298621745789</c:v>
                </c:pt>
                <c:pt idx="1">
                  <c:v>0.0061627094972067</c:v>
                </c:pt>
                <c:pt idx="2">
                  <c:v>0.0171783625730994</c:v>
                </c:pt>
                <c:pt idx="3">
                  <c:v>0.131204111600587</c:v>
                </c:pt>
                <c:pt idx="4">
                  <c:v>0.216740166538841</c:v>
                </c:pt>
                <c:pt idx="5">
                  <c:v>0.493177336934469</c:v>
                </c:pt>
                <c:pt idx="6">
                  <c:v>0.708331584757282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318341"/>
        <c:axId val="87174914"/>
      </c:lineChart>
      <c:catAx>
        <c:axId val="89231834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Число экспериментов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174914"/>
        <c:crosses val="autoZero"/>
        <c:auto val="1"/>
        <c:lblAlgn val="ctr"/>
        <c:lblOffset val="100"/>
        <c:noMultiLvlLbl val="0"/>
      </c:catAx>
      <c:valAx>
        <c:axId val="8717491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3183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f5932e-556e-4e43-a458-e2096eaa9e0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Время исполнения (мс)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Лист2!$D$1</c:f>
              <c:strCache>
                <c:ptCount val="1"/>
                <c:pt idx="0">
                  <c:v>Время исполнения на одном потоке (мс)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Лист2!$A$2:$A$8</c15:sqref>
                  </c15:fullRef>
                </c:ext>
              </c:extLst>
              <c:f>Лист2!$A$2:$A$6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Лист2!$D$2:$D$8</c15:sqref>
                  </c15:fullRef>
                </c:ext>
              </c:extLst>
              <c:f>Лист2!$D$2:$D$6</c:f>
              <c:numCache>
                <c:formatCode>General</c:formatCode>
                <c:ptCount val="5"/>
                <c:pt idx="0">
                  <c:v>0.358</c:v>
                </c:pt>
                <c:pt idx="1">
                  <c:v>0.353</c:v>
                </c:pt>
                <c:pt idx="2">
                  <c:v>1.081</c:v>
                </c:pt>
                <c:pt idx="3">
                  <c:v>7.148</c:v>
                </c:pt>
                <c:pt idx="4">
                  <c:v>63.302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Лист2!$C$1</c:f>
              <c:strCache>
                <c:ptCount val="1"/>
                <c:pt idx="0">
                  <c:v>Время исполнения на 16 потоках (мс)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Лист2!$A$2:$A$8</c15:sqref>
                  </c15:fullRef>
                </c:ext>
              </c:extLst>
              <c:f>Лист2!$A$2:$A$6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Лист2!$C$2:$C$8</c15:sqref>
                  </c15:fullRef>
                </c:ext>
              </c:extLst>
              <c:f>Лист2!$C$2:$C$6</c:f>
              <c:numCache>
                <c:formatCode>General</c:formatCode>
                <c:ptCount val="5"/>
                <c:pt idx="0">
                  <c:v>3.265</c:v>
                </c:pt>
                <c:pt idx="1">
                  <c:v>3.58</c:v>
                </c:pt>
                <c:pt idx="2">
                  <c:v>3.933</c:v>
                </c:pt>
                <c:pt idx="3">
                  <c:v>3.405</c:v>
                </c:pt>
                <c:pt idx="4">
                  <c:v>18.254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318341"/>
        <c:axId val="87174914"/>
      </c:lineChart>
      <c:catAx>
        <c:axId val="89231834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Число экспериментов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174914"/>
        <c:crosses val="autoZero"/>
        <c:auto val="1"/>
        <c:lblAlgn val="ctr"/>
        <c:lblOffset val="100"/>
        <c:noMultiLvlLbl val="0"/>
      </c:catAx>
      <c:valAx>
        <c:axId val="871749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3183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f5932e-556e-4e43-a458-e2096eaa9e0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239395</xdr:colOff>
      <xdr:row>0</xdr:row>
      <xdr:rowOff>46355</xdr:rowOff>
    </xdr:from>
    <xdr:to>
      <xdr:col>9</xdr:col>
      <xdr:colOff>603250</xdr:colOff>
      <xdr:row>13</xdr:row>
      <xdr:rowOff>69215</xdr:rowOff>
    </xdr:to>
    <xdr:graphicFrame>
      <xdr:nvGraphicFramePr>
        <xdr:cNvPr id="3" name="Диаграмма 2"/>
        <xdr:cNvGraphicFramePr/>
      </xdr:nvGraphicFramePr>
      <xdr:xfrm>
        <a:off x="4011295" y="46355"/>
        <a:ext cx="4826000" cy="2979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247650</xdr:colOff>
      <xdr:row>13</xdr:row>
      <xdr:rowOff>173355</xdr:rowOff>
    </xdr:from>
    <xdr:to>
      <xdr:col>10</xdr:col>
      <xdr:colOff>1905</xdr:colOff>
      <xdr:row>24</xdr:row>
      <xdr:rowOff>173990</xdr:rowOff>
    </xdr:to>
    <xdr:graphicFrame>
      <xdr:nvGraphicFramePr>
        <xdr:cNvPr id="4" name="Диаграмма 3"/>
        <xdr:cNvGraphicFramePr/>
      </xdr:nvGraphicFramePr>
      <xdr:xfrm>
        <a:off x="4019550" y="3129915"/>
        <a:ext cx="4826000" cy="2012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225425</xdr:colOff>
      <xdr:row>25</xdr:row>
      <xdr:rowOff>52070</xdr:rowOff>
    </xdr:from>
    <xdr:to>
      <xdr:col>9</xdr:col>
      <xdr:colOff>589280</xdr:colOff>
      <xdr:row>40</xdr:row>
      <xdr:rowOff>52070</xdr:rowOff>
    </xdr:to>
    <xdr:graphicFrame>
      <xdr:nvGraphicFramePr>
        <xdr:cNvPr id="5" name="Диаграмма 4"/>
        <xdr:cNvGraphicFramePr/>
      </xdr:nvGraphicFramePr>
      <xdr:xfrm>
        <a:off x="3997325" y="520319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40005</xdr:colOff>
      <xdr:row>10</xdr:row>
      <xdr:rowOff>180975</xdr:rowOff>
    </xdr:from>
    <xdr:to>
      <xdr:col>4</xdr:col>
      <xdr:colOff>46355</xdr:colOff>
      <xdr:row>24</xdr:row>
      <xdr:rowOff>41275</xdr:rowOff>
    </xdr:to>
    <xdr:graphicFrame>
      <xdr:nvGraphicFramePr>
        <xdr:cNvPr id="3" name="Диаграмма 2"/>
        <xdr:cNvGraphicFramePr/>
      </xdr:nvGraphicFramePr>
      <xdr:xfrm>
        <a:off x="1533525" y="2360295"/>
        <a:ext cx="478726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34925</xdr:colOff>
      <xdr:row>24</xdr:row>
      <xdr:rowOff>112395</xdr:rowOff>
    </xdr:from>
    <xdr:to>
      <xdr:col>4</xdr:col>
      <xdr:colOff>80645</xdr:colOff>
      <xdr:row>39</xdr:row>
      <xdr:rowOff>140970</xdr:rowOff>
    </xdr:to>
    <xdr:graphicFrame>
      <xdr:nvGraphicFramePr>
        <xdr:cNvPr id="4" name="Диаграмма 3"/>
        <xdr:cNvGraphicFramePr/>
      </xdr:nvGraphicFramePr>
      <xdr:xfrm>
        <a:off x="1528445" y="4852035"/>
        <a:ext cx="4826635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</xdr:colOff>
      <xdr:row>39</xdr:row>
      <xdr:rowOff>180975</xdr:rowOff>
    </xdr:from>
    <xdr:to>
      <xdr:col>4</xdr:col>
      <xdr:colOff>60960</xdr:colOff>
      <xdr:row>55</xdr:row>
      <xdr:rowOff>26670</xdr:rowOff>
    </xdr:to>
    <xdr:graphicFrame>
      <xdr:nvGraphicFramePr>
        <xdr:cNvPr id="5" name="Диаграмма 4"/>
        <xdr:cNvGraphicFramePr/>
      </xdr:nvGraphicFramePr>
      <xdr:xfrm>
        <a:off x="1508760" y="7663815"/>
        <a:ext cx="4826635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78740</xdr:colOff>
      <xdr:row>0</xdr:row>
      <xdr:rowOff>265430</xdr:rowOff>
    </xdr:from>
    <xdr:to>
      <xdr:col>19</xdr:col>
      <xdr:colOff>126365</xdr:colOff>
      <xdr:row>20</xdr:row>
      <xdr:rowOff>43815</xdr:rowOff>
    </xdr:to>
    <xdr:graphicFrame>
      <xdr:nvGraphicFramePr>
        <xdr:cNvPr id="6" name="Диаграмма 5"/>
        <xdr:cNvGraphicFramePr/>
      </xdr:nvGraphicFramePr>
      <xdr:xfrm>
        <a:off x="9087485" y="265430"/>
        <a:ext cx="7362825" cy="3786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zoomScale="68" zoomScaleNormal="68" workbookViewId="0">
      <selection activeCell="D17" sqref="D17"/>
    </sheetView>
  </sheetViews>
  <sheetFormatPr defaultColWidth="8.88888888888889" defaultRowHeight="14.4" outlineLevelCol="3"/>
  <cols>
    <col min="1" max="1" width="11" customWidth="1"/>
    <col min="2" max="2" width="13.7777777777778" customWidth="1"/>
    <col min="3" max="3" width="14.2222222222222" customWidth="1"/>
    <col min="4" max="4" width="16" customWidth="1"/>
    <col min="5" max="5" width="21.1203703703704" customWidth="1"/>
    <col min="6" max="6" width="17.2777777777778" customWidth="1"/>
  </cols>
  <sheetData>
    <row r="1" ht="60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5">
        <v>1</v>
      </c>
      <c r="B2" s="6">
        <v>3215.118</v>
      </c>
      <c r="C2" s="7">
        <f>$B$2/B2</f>
        <v>1</v>
      </c>
      <c r="D2" s="7">
        <f>C2/A2</f>
        <v>1</v>
      </c>
    </row>
    <row r="3" spans="1:4">
      <c r="A3" s="5">
        <v>2</v>
      </c>
      <c r="B3" s="6">
        <v>1716.931</v>
      </c>
      <c r="C3" s="7">
        <f>$B$2/B3</f>
        <v>1.87259592843277</v>
      </c>
      <c r="D3" s="7">
        <f t="shared" ref="D3:D17" si="0">C3/A3</f>
        <v>0.936297964216384</v>
      </c>
    </row>
    <row r="4" spans="1:4">
      <c r="A4" s="5">
        <v>3</v>
      </c>
      <c r="B4" s="6">
        <v>1205.02</v>
      </c>
      <c r="C4" s="7">
        <f>$B$2/B4</f>
        <v>2.6681034339679</v>
      </c>
      <c r="D4" s="7">
        <f t="shared" si="0"/>
        <v>0.889367811322634</v>
      </c>
    </row>
    <row r="5" spans="1:4">
      <c r="A5" s="5">
        <v>4</v>
      </c>
      <c r="B5" s="6">
        <v>920.695</v>
      </c>
      <c r="C5" s="7">
        <f>$B$2/B5</f>
        <v>3.49205545810502</v>
      </c>
      <c r="D5" s="7">
        <f t="shared" si="0"/>
        <v>0.873013864526255</v>
      </c>
    </row>
    <row r="6" spans="1:4">
      <c r="A6" s="5">
        <v>5</v>
      </c>
      <c r="B6" s="6">
        <v>745.2</v>
      </c>
      <c r="C6" s="7">
        <f>$B$2/B6</f>
        <v>4.31443639291465</v>
      </c>
      <c r="D6" s="7">
        <f t="shared" si="0"/>
        <v>0.862887278582931</v>
      </c>
    </row>
    <row r="7" spans="1:4">
      <c r="A7" s="5">
        <v>6</v>
      </c>
      <c r="B7" s="3">
        <v>643.813</v>
      </c>
      <c r="C7" s="7">
        <f t="shared" ref="C7:C17" si="1">$B$2/B7</f>
        <v>4.99386933783568</v>
      </c>
      <c r="D7" s="7">
        <f t="shared" si="0"/>
        <v>0.832311556305946</v>
      </c>
    </row>
    <row r="8" spans="1:4">
      <c r="A8" s="5">
        <v>8</v>
      </c>
      <c r="B8" s="6">
        <v>505.85</v>
      </c>
      <c r="C8" s="7">
        <f t="shared" si="1"/>
        <v>6.35587229415835</v>
      </c>
      <c r="D8" s="7">
        <f t="shared" si="0"/>
        <v>0.794484036769793</v>
      </c>
    </row>
    <row r="9" spans="1:4">
      <c r="A9" s="5">
        <v>12</v>
      </c>
      <c r="B9" s="6">
        <v>356.342</v>
      </c>
      <c r="C9" s="7">
        <f t="shared" si="1"/>
        <v>9.0225625943616</v>
      </c>
      <c r="D9" s="7">
        <f t="shared" si="0"/>
        <v>0.7518802161968</v>
      </c>
    </row>
    <row r="10" spans="1:4">
      <c r="A10" s="5">
        <v>15</v>
      </c>
      <c r="B10" s="6">
        <v>302.116</v>
      </c>
      <c r="C10" s="7">
        <f t="shared" si="1"/>
        <v>10.6419984376862</v>
      </c>
      <c r="D10" s="7">
        <f t="shared" si="0"/>
        <v>0.709466562512412</v>
      </c>
    </row>
    <row r="11" spans="1:4">
      <c r="A11" s="5">
        <v>16</v>
      </c>
      <c r="B11" s="6">
        <v>299.131</v>
      </c>
      <c r="C11" s="7">
        <f t="shared" si="1"/>
        <v>10.7481939350987</v>
      </c>
      <c r="D11" s="7">
        <f t="shared" si="0"/>
        <v>0.671762120943667</v>
      </c>
    </row>
    <row r="12" spans="1:4">
      <c r="A12" s="5">
        <v>32</v>
      </c>
      <c r="B12" s="6">
        <v>302.348</v>
      </c>
      <c r="C12" s="7">
        <f t="shared" si="1"/>
        <v>10.6338325373411</v>
      </c>
      <c r="D12" s="7">
        <f t="shared" si="0"/>
        <v>0.332307266791909</v>
      </c>
    </row>
    <row r="13" spans="1:4">
      <c r="A13" s="5">
        <v>64</v>
      </c>
      <c r="B13" s="6">
        <v>297.994</v>
      </c>
      <c r="C13" s="7">
        <f t="shared" si="1"/>
        <v>10.7892038094727</v>
      </c>
      <c r="D13" s="7">
        <f t="shared" si="0"/>
        <v>0.168581309523011</v>
      </c>
    </row>
    <row r="14" spans="1:4">
      <c r="A14" s="5">
        <v>128</v>
      </c>
      <c r="B14" s="6">
        <v>296.907</v>
      </c>
      <c r="C14" s="7">
        <f t="shared" si="1"/>
        <v>10.8287039375966</v>
      </c>
      <c r="D14" s="7">
        <f t="shared" si="0"/>
        <v>0.0845992495124736</v>
      </c>
    </row>
    <row r="15" spans="1:4">
      <c r="A15" s="5">
        <v>512</v>
      </c>
      <c r="B15" s="6">
        <v>303.822</v>
      </c>
      <c r="C15" s="7">
        <f t="shared" si="1"/>
        <v>10.5822422339396</v>
      </c>
      <c r="D15" s="7">
        <f t="shared" si="0"/>
        <v>0.0206684418631633</v>
      </c>
    </row>
    <row r="16" spans="1:4">
      <c r="A16" s="5">
        <v>1024</v>
      </c>
      <c r="B16" s="6">
        <v>326.676</v>
      </c>
      <c r="C16" s="7">
        <f t="shared" si="1"/>
        <v>9.84191676156192</v>
      </c>
      <c r="D16" s="7">
        <f t="shared" si="0"/>
        <v>0.00961124683746281</v>
      </c>
    </row>
    <row r="17" spans="1:4">
      <c r="A17" s="5">
        <v>10000</v>
      </c>
      <c r="B17" s="6">
        <v>1073.979</v>
      </c>
      <c r="C17" s="7">
        <f t="shared" si="1"/>
        <v>2.99365071384077</v>
      </c>
      <c r="D17" s="7">
        <f t="shared" si="0"/>
        <v>0.000299365071384077</v>
      </c>
    </row>
    <row r="20" spans="1:4">
      <c r="A20" s="8"/>
      <c r="B20" s="8"/>
      <c r="C20" s="9"/>
      <c r="D20" s="9"/>
    </row>
    <row r="21" spans="1:4">
      <c r="A21" s="10"/>
      <c r="B21" s="11"/>
      <c r="C21" s="12"/>
      <c r="D21" s="12"/>
    </row>
    <row r="22" spans="1:4">
      <c r="A22" s="10"/>
      <c r="B22" s="11"/>
      <c r="C22" s="12"/>
      <c r="D22" s="12"/>
    </row>
    <row r="23" spans="1:4">
      <c r="A23" s="10"/>
      <c r="B23" s="11"/>
      <c r="C23" s="12"/>
      <c r="D23" s="12"/>
    </row>
    <row r="24" spans="1:4">
      <c r="A24" s="10"/>
      <c r="B24" s="11"/>
      <c r="C24" s="12"/>
      <c r="D24" s="12"/>
    </row>
    <row r="25" spans="1:4">
      <c r="A25" s="10"/>
      <c r="B25" s="11"/>
      <c r="C25" s="12"/>
      <c r="D25" s="12"/>
    </row>
    <row r="26" spans="1:4">
      <c r="A26" s="10"/>
      <c r="B26" s="13"/>
      <c r="C26" s="12"/>
      <c r="D26" s="12"/>
    </row>
    <row r="27" spans="1:4">
      <c r="A27" s="10"/>
      <c r="B27" s="11"/>
      <c r="C27" s="12"/>
      <c r="D27" s="12"/>
    </row>
    <row r="28" spans="1:4">
      <c r="A28" s="10"/>
      <c r="B28" s="11"/>
      <c r="C28" s="12"/>
      <c r="D28" s="12"/>
    </row>
    <row r="29" spans="1:4">
      <c r="A29" s="10"/>
      <c r="B29" s="11"/>
      <c r="C29" s="12"/>
      <c r="D29" s="12"/>
    </row>
    <row r="30" spans="1:4">
      <c r="A30" s="10"/>
      <c r="B30" s="11"/>
      <c r="C30" s="12"/>
      <c r="D30" s="12"/>
    </row>
    <row r="31" spans="1:4">
      <c r="A31" s="10"/>
      <c r="B31" s="11"/>
      <c r="C31" s="12"/>
      <c r="D31" s="12"/>
    </row>
    <row r="32" spans="1:4">
      <c r="A32" s="10"/>
      <c r="B32" s="11"/>
      <c r="C32" s="12"/>
      <c r="D32" s="12"/>
    </row>
    <row r="33" spans="1:4">
      <c r="A33" s="10"/>
      <c r="B33" s="11"/>
      <c r="C33" s="12"/>
      <c r="D33" s="12"/>
    </row>
    <row r="34" spans="1:4">
      <c r="A34" s="10"/>
      <c r="B34" s="11"/>
      <c r="C34" s="12"/>
      <c r="D34" s="12"/>
    </row>
    <row r="35" spans="1:4">
      <c r="A35" s="10"/>
      <c r="B35" s="11"/>
      <c r="C35" s="12"/>
      <c r="D35" s="12"/>
    </row>
    <row r="36" spans="1:4">
      <c r="A36" s="10"/>
      <c r="B36" s="11"/>
      <c r="C36" s="12"/>
      <c r="D36" s="12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70" zoomScaleNormal="70" workbookViewId="0">
      <selection activeCell="E12" sqref="E12"/>
    </sheetView>
  </sheetViews>
  <sheetFormatPr defaultColWidth="8.88888888888889" defaultRowHeight="14.4" outlineLevelRow="7" outlineLevelCol="5"/>
  <cols>
    <col min="1" max="1" width="21.7777777777778" customWidth="1"/>
    <col min="2" max="2" width="26.1111111111111" customWidth="1"/>
    <col min="3" max="3" width="22.1203703703704" customWidth="1"/>
    <col min="4" max="4" width="21.4814814814815" customWidth="1"/>
    <col min="5" max="5" width="14"/>
    <col min="6" max="6" width="16.9814814814815" customWidth="1"/>
  </cols>
  <sheetData>
    <row r="1" ht="42" customHeight="1" spans="1:6">
      <c r="A1" s="1" t="s">
        <v>4</v>
      </c>
      <c r="B1" s="1" t="s">
        <v>5</v>
      </c>
      <c r="C1" s="2" t="s">
        <v>6</v>
      </c>
      <c r="D1" s="2" t="s">
        <v>7</v>
      </c>
      <c r="E1" s="2" t="s">
        <v>2</v>
      </c>
      <c r="F1" s="2" t="s">
        <v>3</v>
      </c>
    </row>
    <row r="2" spans="1:6">
      <c r="A2" s="3">
        <v>10</v>
      </c>
      <c r="B2" s="3">
        <v>0.1</v>
      </c>
      <c r="C2" s="3">
        <v>3.265</v>
      </c>
      <c r="D2" s="3">
        <v>0.358</v>
      </c>
      <c r="E2" s="4">
        <f>D2/C2</f>
        <v>0.109647779479326</v>
      </c>
      <c r="F2" s="4">
        <f>E2/16</f>
        <v>0.00685298621745789</v>
      </c>
    </row>
    <row r="3" spans="1:6">
      <c r="A3" s="3">
        <v>100</v>
      </c>
      <c r="B3" s="3">
        <v>0.05</v>
      </c>
      <c r="C3" s="3">
        <v>3.58</v>
      </c>
      <c r="D3" s="3">
        <v>0.353</v>
      </c>
      <c r="E3" s="4">
        <f t="shared" ref="E3:E8" si="0">D3/C3</f>
        <v>0.0986033519553073</v>
      </c>
      <c r="F3" s="4">
        <f t="shared" ref="F3:F8" si="1">E3/16</f>
        <v>0.0061627094972067</v>
      </c>
    </row>
    <row r="4" spans="1:6">
      <c r="A4" s="3">
        <v>1000</v>
      </c>
      <c r="B4" s="3">
        <v>0.063</v>
      </c>
      <c r="C4" s="3">
        <v>3.933</v>
      </c>
      <c r="D4" s="3">
        <v>1.081</v>
      </c>
      <c r="E4" s="4">
        <f t="shared" si="0"/>
        <v>0.274853801169591</v>
      </c>
      <c r="F4" s="4">
        <f t="shared" si="1"/>
        <v>0.0171783625730994</v>
      </c>
    </row>
    <row r="5" spans="1:6">
      <c r="A5" s="3">
        <v>10000</v>
      </c>
      <c r="B5" s="3">
        <v>0.0577</v>
      </c>
      <c r="C5" s="3">
        <v>3.405</v>
      </c>
      <c r="D5" s="3">
        <v>7.148</v>
      </c>
      <c r="E5" s="4">
        <f t="shared" si="0"/>
        <v>2.0992657856094</v>
      </c>
      <c r="F5" s="4">
        <f t="shared" si="1"/>
        <v>0.131204111600587</v>
      </c>
    </row>
    <row r="6" spans="1:6">
      <c r="A6" s="3">
        <v>100000</v>
      </c>
      <c r="B6" s="3">
        <v>0.0578</v>
      </c>
      <c r="C6" s="3">
        <v>18.254</v>
      </c>
      <c r="D6" s="3">
        <v>63.302</v>
      </c>
      <c r="E6" s="4">
        <f t="shared" si="0"/>
        <v>3.46784266462145</v>
      </c>
      <c r="F6" s="4">
        <f t="shared" si="1"/>
        <v>0.216740166538841</v>
      </c>
    </row>
    <row r="7" spans="1:6">
      <c r="A7" s="3">
        <v>1000000</v>
      </c>
      <c r="B7" s="3">
        <v>0.058796</v>
      </c>
      <c r="C7" s="3">
        <v>78.864</v>
      </c>
      <c r="D7" s="3">
        <v>622.303</v>
      </c>
      <c r="E7" s="4">
        <f t="shared" si="0"/>
        <v>7.89083739095151</v>
      </c>
      <c r="F7" s="4">
        <f t="shared" si="1"/>
        <v>0.493177336934469</v>
      </c>
    </row>
    <row r="8" spans="1:6">
      <c r="A8" s="3">
        <v>10000000</v>
      </c>
      <c r="B8" s="3">
        <v>0.05879</v>
      </c>
      <c r="C8" s="3">
        <v>548.065</v>
      </c>
      <c r="D8" s="3">
        <v>6211.388</v>
      </c>
      <c r="E8" s="4">
        <f t="shared" si="0"/>
        <v>11.3333053561165</v>
      </c>
      <c r="F8" s="4">
        <f t="shared" si="1"/>
        <v>0.708331584757282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2025-11-11T19:34:00Z</dcterms:created>
  <dcterms:modified xsi:type="dcterms:W3CDTF">2025-11-18T18:52:56Z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1C7E6A40B35E4DF2830BD0FC82800352_11</vt:lpwstr>
  </property>
  <property fmtid="{D5CDD505-2E9C-101B-9397-08002B2CF9AE}" pid="3" name="KSOProductBuildVer">
    <vt:lpwstr>1049-12.2.0.21931</vt:lpwstr>
  </property>
</Properties>
</file>